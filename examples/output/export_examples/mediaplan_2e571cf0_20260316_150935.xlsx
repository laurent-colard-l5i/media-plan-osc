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mediaplan_2e571cf0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Advanced v3.0 Feature Showcase (Updated 2026-03-10 18:20)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46091.76421677177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B8" t="b">
        <v>0</v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B10" t="inlineStr">
        <is>
          <t>mediaplan_5cb7dc59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Updated basic properties - budget and objective changes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Strategic Initiative - Digital Transformation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>
        <is>
          <t>{"approval_status": "approved", "budget_source": "marketing_operations", "internal_id": "ENT-2025-Q1-001"}</t>
        </is>
      </c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2026-03-16 15:09:35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campaign_06b0dc46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Enterprise Technology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Brand Awareness and Consideration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92000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B20" t="inlineStr">
        <is>
          <t>Brand Awareness Lift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n">
        <v>15.5</v>
      </c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B22" t="inlineStr">
        <is>
          <t>Purchase Intent Increase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n">
        <v>22</v>
      </c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B24" t="inlineStr">
        <is>
          <t>Website Traffic Growth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n">
        <v>35000</v>
      </c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B30" t="inlineStr">
        <is>
          <t>Tech Products Division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B31" t="inlineStr">
        <is>
          <t>Q2 2025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>
        <is>
          <t>{"campaign_manager": "Jane Smith", "agency_partner": "Digital Agency Inc", "tracking_code": "UTM_Q1_2025_ENT", "last_updated": "2026-03-10 18:20:28", "updated_by": "Data Science Team", "optimization_status": "In Progress"}</t>
        </is>
      </c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Tech-Savvy Millennials (Updated)</t>
        </is>
      </c>
      <c r="B2" t="inlineStr">
        <is>
          <t>Updated audience with expanded age range</t>
        </is>
      </c>
      <c r="C2" t="n">
        <v>25</v>
      </c>
      <c r="D2" t="n">
        <v>55</v>
      </c>
      <c r="E2" t="inlineStr">
        <is>
          <t>Any</t>
        </is>
      </c>
      <c r="F2" t="inlineStr">
        <is>
          <t>Income: $75k+, Education: College+, Urban</t>
        </is>
      </c>
      <c r="G2" t="inlineStr">
        <is>
          <t>Technology, Innovation, Startups, AI, Cloud Computing</t>
        </is>
      </c>
      <c r="L2" t="inlineStr">
        <is>
          <t>lookalike</t>
        </is>
      </c>
      <c r="M2" t="n">
        <v>5500000</v>
      </c>
    </row>
    <row r="3">
      <c r="A3" t="inlineStr">
        <is>
          <t>Business Decision Makers</t>
        </is>
      </c>
      <c r="B3" t="inlineStr">
        <is>
          <t>C-level executives and senior managers</t>
        </is>
      </c>
      <c r="C3" t="n">
        <v>35</v>
      </c>
      <c r="D3" t="n">
        <v>65</v>
      </c>
      <c r="E3" t="inlineStr">
        <is>
          <t>Any</t>
        </is>
      </c>
      <c r="F3" t="inlineStr">
        <is>
          <t>Income: $150k+, Job Title: C-Level, VP, Director</t>
        </is>
      </c>
      <c r="M3" t="n">
        <v>800000</v>
      </c>
    </row>
    <row r="4">
      <c r="A4" t="inlineStr">
        <is>
          <t>Millennials - Tech Enthusiasts</t>
        </is>
      </c>
      <c r="B4" t="inlineStr">
        <is>
          <t>Young professionals interested in technology and innovation</t>
        </is>
      </c>
      <c r="C4" t="n">
        <v>28</v>
      </c>
      <c r="D4" t="n">
        <v>42</v>
      </c>
      <c r="E4" t="inlineStr">
        <is>
          <t>Any</t>
        </is>
      </c>
      <c r="F4" t="inlineStr">
        <is>
          <t>Income: $80k+, Education: College+, Urban dwellers</t>
        </is>
      </c>
      <c r="G4" t="inlineStr">
        <is>
          <t>Technology, Innovation, Gadgets, Software, AI</t>
        </is>
      </c>
      <c r="H4" t="inlineStr">
        <is>
          <t>High purchase intent for tech products</t>
        </is>
      </c>
      <c r="I4" t="inlineStr">
        <is>
          <t>Recent tech purchases, High online spending</t>
        </is>
      </c>
      <c r="L4" t="inlineStr">
        <is>
          <t>Lookalike modeling based on seed audience</t>
        </is>
      </c>
      <c r="M4" t="n">
        <v>3200000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Major US Metro Areas (Expanded)</t>
        </is>
      </c>
      <c r="B2" t="inlineStr">
        <is>
          <t>Expanded to include additional markets</t>
        </is>
      </c>
      <c r="C2" t="inlineStr">
        <is>
          <t>DMA</t>
        </is>
      </c>
      <c r="D2" t="inlineStr">
        <is>
          <t>New York, Los Angeles, Chicago, San Francisco, Boston, Texas, Florida</t>
        </is>
      </c>
      <c r="G2" t="n">
        <v>0.35</v>
      </c>
    </row>
    <row r="3">
      <c r="A3" t="inlineStr">
        <is>
          <t>Tech Hub Cities</t>
        </is>
      </c>
      <c r="B3" t="inlineStr">
        <is>
          <t>Cities with high concentration of tech companies</t>
        </is>
      </c>
      <c r="C3" t="inlineStr">
        <is>
          <t>DMA</t>
        </is>
      </c>
      <c r="D3" t="inlineStr">
        <is>
          <t>Seattle, Austin, Denver, Portland</t>
        </is>
      </c>
      <c r="F3" t="inlineStr">
        <is>
          <t>Rural areas</t>
        </is>
      </c>
      <c r="G3" t="n">
        <v>0.15</v>
      </c>
    </row>
    <row r="4">
      <c r="A4" t="inlineStr">
        <is>
          <t>National Coverage</t>
        </is>
      </c>
      <c r="B4" t="inlineStr">
        <is>
          <t>Nationwide reach with urban focus</t>
        </is>
      </c>
      <c r="C4" t="inlineStr">
        <is>
          <t>Country</t>
        </is>
      </c>
      <c r="D4" t="inlineStr">
        <is>
          <t>United States</t>
        </is>
      </c>
      <c r="E4" t="inlineStr">
        <is>
          <t>State</t>
        </is>
      </c>
      <c r="F4" t="inlineStr">
        <is>
          <t>Alaska, Hawaii</t>
        </is>
      </c>
      <c r="G4" t="n">
        <v>0.95</v>
      </c>
    </row>
    <row r="5">
      <c r="A5" t="inlineStr">
        <is>
          <t>West Coast Markets</t>
        </is>
      </c>
      <c r="B5" t="inlineStr">
        <is>
          <t>Major metropolitan areas on the West Coast</t>
        </is>
      </c>
      <c r="C5" t="inlineStr">
        <is>
          <t>State</t>
        </is>
      </c>
      <c r="D5" t="inlineStr">
        <is>
          <t>California, Oregon, Washington</t>
        </is>
      </c>
      <c r="G5" t="n">
        <v>0.85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5" customWidth="1" min="22" max="22"/>
    <col width="18" customWidth="1" min="23" max="23"/>
    <col width="15" customWidth="1" min="24" max="24"/>
    <col width="18" customWidth="1" min="25" max="25"/>
    <col width="15" customWidth="1" min="26" max="26"/>
    <col width="18" customWidth="1" min="27" max="27"/>
    <col width="15" customWidth="1" min="28" max="28"/>
    <col width="18" customWidth="1" min="29" max="29"/>
    <col width="15" customWidth="1" min="30" max="30"/>
    <col width="40" customWidth="1" min="31" max="31"/>
    <col width="40" customWidth="1" min="32" max="3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Buy Type</t>
        </is>
      </c>
      <c r="I1" s="1" t="inlineStr">
        <is>
          <t>Buy Commitment</t>
        </is>
      </c>
      <c r="J1" s="1" t="inlineStr">
        <is>
          <t>Cost Currency</t>
        </is>
      </c>
      <c r="K1" s="1" t="inlineStr">
        <is>
          <t>Cost Currency Exchange Rate</t>
        </is>
      </c>
      <c r="L1" s="1" t="inlineStr">
        <is>
          <t>Cost Minimum</t>
        </is>
      </c>
      <c r="M1" s="1" t="inlineStr">
        <is>
          <t>Cost Maximum</t>
        </is>
      </c>
      <c r="N1" s="1" t="inlineStr">
        <is>
          <t>Dim Custom 1</t>
        </is>
      </c>
      <c r="O1" s="1" t="inlineStr">
        <is>
          <t>Cost Custom 1 %</t>
        </is>
      </c>
      <c r="P1" s="1" t="inlineStr">
        <is>
          <t>Cost Custom 1</t>
        </is>
      </c>
      <c r="Q1" s="1" t="inlineStr">
        <is>
          <t>Cost per 1000 Impressions</t>
        </is>
      </c>
      <c r="R1" s="1" t="inlineStr">
        <is>
          <t>Impressions</t>
        </is>
      </c>
      <c r="S1" s="1" t="inlineStr">
        <is>
          <t>Clicks Conversion Rate</t>
        </is>
      </c>
      <c r="T1" s="1" t="inlineStr">
        <is>
          <t>Clicks</t>
        </is>
      </c>
      <c r="U1" s="1" t="inlineStr">
        <is>
          <t>Cost per Engagement</t>
        </is>
      </c>
      <c r="V1" s="1" t="inlineStr">
        <is>
          <t>Engagements</t>
        </is>
      </c>
      <c r="W1" s="1" t="inlineStr">
        <is>
          <t>Cost per View Start</t>
        </is>
      </c>
      <c r="X1" s="1" t="inlineStr">
        <is>
          <t>View Starts</t>
        </is>
      </c>
      <c r="Y1" s="1" t="inlineStr">
        <is>
          <t>Cost per View Completion</t>
        </is>
      </c>
      <c r="Z1" s="1" t="inlineStr">
        <is>
          <t>View Completions</t>
        </is>
      </c>
      <c r="AA1" s="1" t="inlineStr">
        <is>
          <t>Cost per Reach</t>
        </is>
      </c>
      <c r="AB1" s="1" t="inlineStr">
        <is>
          <t>Reach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Metric Formulas (JSON)</t>
        </is>
      </c>
      <c r="AF1" s="1" t="inlineStr">
        <is>
          <t>Custom Properties (JSON)</t>
        </is>
      </c>
    </row>
    <row r="2">
      <c r="A2" t="inlineStr">
        <is>
          <t>pli_fec3039e</t>
        </is>
      </c>
      <c r="B2" t="inlineStr">
        <is>
          <t>Digital Display - Programmatic</t>
        </is>
      </c>
      <c r="C2" s="3" t="n">
        <v>45658</v>
      </c>
      <c r="D2" s="3" t="n">
        <v>45747</v>
      </c>
      <c r="E2" s="4" t="n">
        <v>50000</v>
      </c>
      <c r="F2" t="inlineStr">
        <is>
          <t>Digital</t>
        </is>
      </c>
      <c r="G2" t="inlineStr">
        <is>
          <t>Programmatic Display</t>
        </is>
      </c>
      <c r="H2" t="inlineStr">
        <is>
          <t>Programmatic</t>
        </is>
      </c>
      <c r="I2" t="inlineStr">
        <is>
          <t>Non-guaranteed</t>
        </is>
      </c>
      <c r="J2" s="4" t="inlineStr">
        <is>
          <t>USD</t>
        </is>
      </c>
      <c r="K2" s="4" t="n">
        <v>1</v>
      </c>
      <c r="L2" s="4" t="n">
        <v>45000</v>
      </c>
      <c r="M2" s="4" t="n">
        <v>55000</v>
      </c>
      <c r="N2" t="inlineStr">
        <is>
          <t>Audience: Tech Millennials</t>
        </is>
      </c>
      <c r="O2" s="5" t="n">
        <v>0.05</v>
      </c>
      <c r="P2" s="6">
        <f>E2*O2</f>
        <v/>
      </c>
      <c r="Q2" s="7" t="n">
        <v>8000</v>
      </c>
      <c r="R2" s="8">
        <f>IF($Q2=0,0,$E2/$Q2*1000)</f>
        <v/>
      </c>
      <c r="S2" s="9" t="n">
        <v>0.01</v>
      </c>
      <c r="T2" s="8">
        <f>IF($S2=0,0,$R2*$S2)</f>
        <v/>
      </c>
      <c r="U2" s="7" t="n">
        <v>0.3333333333333333</v>
      </c>
      <c r="V2" s="8">
        <f>IF($U2=0,0,$E2/$U2)</f>
        <v/>
      </c>
      <c r="W2" s="7" t="n">
        <v>0.01666666666666667</v>
      </c>
      <c r="X2" s="8">
        <f>IF($W2=0,0,$E2/$W2)</f>
        <v/>
      </c>
      <c r="Y2" s="7" t="n">
        <v>0.02083333333333333</v>
      </c>
      <c r="Z2" s="8">
        <f>IF($Y2=0,0,$E2/$Y2)</f>
        <v/>
      </c>
      <c r="AA2" s="7" t="n">
        <v>0.025</v>
      </c>
      <c r="AB2" s="8">
        <f>IF($AA2=0,0,$E2/$AA2)</f>
        <v/>
      </c>
      <c r="AC2" s="7" t="n">
        <v>0.5882352941176471</v>
      </c>
      <c r="AD2" s="8">
        <f>IF($AC2=0,0,$E2/$AC2)</f>
        <v/>
      </c>
      <c r="AE2" t="inlineStr">
        <is>
          <t>{"metric_clicks": {"formula_type": "conversion_rate", "base_metric": "metric_impressions", "coefficient": 0.01, "comments": "Click-through rate calculation - lineitem override"}, "metric_impressions": {"formula_type": "cost_per_unit", "base_metric": "cost_total", "coefficient": 8.0, "comments": "CPM calculation - lineitem override"}}</t>
        </is>
      </c>
      <c r="AF2" t="inlineStr">
        <is>
          <t>{"creative_type": "video", "optimization_goal": "reach", "bidding_strategy": "CPM", "targeting_expansion": true, "optimization_round": "2", "performance_tier": "High"}</t>
        </is>
      </c>
    </row>
    <row r="3">
      <c r="A3" t="inlineStr">
        <is>
          <t>pli_e43f0980</t>
        </is>
      </c>
      <c r="B3" t="inlineStr">
        <is>
          <t>Social Media - Feed Ads</t>
        </is>
      </c>
      <c r="C3" s="3" t="n">
        <v>45658</v>
      </c>
      <c r="D3" s="3" t="n">
        <v>45747</v>
      </c>
      <c r="E3" s="4" t="n">
        <v>30000</v>
      </c>
      <c r="F3" t="inlineStr">
        <is>
          <t>Social</t>
        </is>
      </c>
      <c r="G3" t="inlineStr">
        <is>
          <t>Feed Ads</t>
        </is>
      </c>
      <c r="H3" t="inlineStr">
        <is>
          <t>Direct</t>
        </is>
      </c>
      <c r="I3" t="inlineStr">
        <is>
          <t>Guaranteed</t>
        </is>
      </c>
      <c r="L3" s="4" t="n">
        <v>28000</v>
      </c>
      <c r="M3" s="4" t="n">
        <v>32000</v>
      </c>
      <c r="N3" t="inlineStr">
        <is>
          <t>Audience: Business Leaders</t>
        </is>
      </c>
      <c r="O3" s="5" t="n">
        <v>0</v>
      </c>
      <c r="P3" s="6">
        <f>E3*O3</f>
        <v/>
      </c>
      <c r="Q3" s="7" t="n">
        <v>3.75</v>
      </c>
      <c r="R3" s="8">
        <f>IF($Q3=0,0,$E3/$Q3*1000)</f>
        <v/>
      </c>
      <c r="S3" s="9" t="n">
        <v>0.01</v>
      </c>
      <c r="T3" s="8">
        <f>IF($S3=0,0,$R3*$S3)</f>
        <v/>
      </c>
      <c r="U3" s="7" t="n">
        <v>0.075</v>
      </c>
      <c r="V3" s="8">
        <f>IF($U3=0,0,$E3/$U3)</f>
        <v/>
      </c>
      <c r="W3" s="7" t="n">
        <v>0</v>
      </c>
      <c r="X3" s="8">
        <f>IF($W3=0,0,$E3/$W3)</f>
        <v/>
      </c>
      <c r="Y3" s="7" t="n">
        <v>0</v>
      </c>
      <c r="Z3" s="8">
        <f>IF($Y3=0,0,$E3/$Y3)</f>
        <v/>
      </c>
      <c r="AA3" s="7" t="n">
        <v>0.01</v>
      </c>
      <c r="AB3" s="8">
        <f>IF($AA3=0,0,$E3/$AA3)</f>
        <v/>
      </c>
      <c r="AC3" s="7" t="n">
        <v>0</v>
      </c>
      <c r="AD3" s="8">
        <f>IF($AC3=0,0,$E3/$AC3)</f>
        <v/>
      </c>
      <c r="AE3" t="inlineStr">
        <is>
          <t>{"metric_clicks": {"formula_type": "conversion_rate", "base_metric": "metric_impressions", "coefficient": 0.01}}</t>
        </is>
      </c>
      <c r="AF3" t="inlineStr">
        <is>
          <t>{"platform": "linkedin", "ad_format": "sponsored_content", "targeting_method": "account_based"}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Business Unit</t>
        </is>
      </c>
      <c r="E3" t="inlineStr">
        <is>
          <t>enabled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>
        <is>
          <t>Campaign Type</t>
        </is>
      </c>
      <c r="E8" t="inlineStr">
        <is>
          <t>enabled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>
        <is>
          <t>Audience Segment</t>
        </is>
      </c>
      <c r="E13" t="inlineStr">
        <is>
          <t>enabled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>
        <is>
          <t>Video 50% Views</t>
        </is>
      </c>
      <c r="E48" t="inlineStr">
        <is>
          <t>enabled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>
        <is>
          <t>Agency Fees</t>
        </is>
      </c>
      <c r="E58" t="inlineStr">
        <is>
          <t>enabled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2026-03-16 15:09:35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2026-03-16T19:09:35Z</dcterms:created>
  <dcterms:modified xsi:type="dcterms:W3CDTF">2026-03-16T19:09:35Z</dcterms:modified>
</cp:coreProperties>
</file>